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cdeddafbf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giKey" sheetId="1" r:id="R8f941f95d5db4a9a"/>
    <x:sheet xmlns:r="http://schemas.openxmlformats.org/officeDocument/2006/relationships" name="Home Depot" sheetId="2" r:id="R60db10a5ef7e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.00"/>
    <x:numFmt numFmtId="201" formatCode="0"/>
    <x:numFmt numFmtId="202" formatCode="0.00#"/>
    <x:numFmt numFmtId="203" formatCode="@"/>
    <x:numFmt numFmtId="204" formatCode="mm/dd/yy"/>
  </x:numFmts>
  <x:fonts count="6">
    <x:font>
      <x:sz val="11"/>
      <x:name val="Carlito"/>
    </x:font>
    <x:font>
      <x:sz val="11"/>
      <x:color rgb="FF203346"/>
      <x:name val="Arial"/>
    </x:font>
    <x:font>
      <x:b/>
      <x:sz val="16"/>
      <x:color rgb="FF173F64"/>
      <x:name val="Arial"/>
    </x:font>
    <x:font>
      <x:b/>
      <x:sz val="11"/>
      <x:color rgb="FF203346"/>
      <x:name val="Arial"/>
    </x:font>
    <x:font>
      <x:sz val="11"/>
      <x:color rgb="FF576D7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F64"/>
      </x:patternFill>
    </x:fill>
    <x:fill>
      <x:patternFill patternType="solid">
        <x:fgColor rgb="FFF1F5F8"/>
      </x:patternFill>
    </x:fill>
  </x:fills>
  <x:borders count="5">
    <x:border/>
    <x:border>
      <x:bottom style="thin">
        <x:color rgb="FFBACBD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4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805207"/>
      </x:font>
      <x:fill>
        <x:patternFill patternType="solid">
          <x:bgColor rgb="FFFFF1D4"/>
        </x:patternFill>
      </x:fill>
    </x:dxf>
    <x:dxf>
      <x:font>
        <x:color rgb="FF805207"/>
      </x:font>
      <x:fill>
        <x:patternFill patternType="solid">
          <x:bgColor rgb="FFFFF1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3a0ee26ac460a" /><Relationship Type="http://schemas.openxmlformats.org/officeDocument/2006/relationships/theme" Target="/xl/theme/theme1.xml" Id="R0f046504d9fa41a1" /><Relationship Type="http://schemas.openxmlformats.org/officeDocument/2006/relationships/sharedStrings" Target="/xl/sharedStrings.xml" Id="R401437a61f5a4642" /><Relationship Type="http://schemas.openxmlformats.org/officeDocument/2006/relationships/worksheet" Target="/xl/worksheets/sheet1.xml" Id="R8f941f95d5db4a9a" /><Relationship Type="http://schemas.openxmlformats.org/officeDocument/2006/relationships/worksheet" Target="/xl/worksheets/sheet2.xml" Id="R60db10a5ef7e4d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F64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24" hidden="0" customWidth="1"/>
    <x:col min="5" max="5" width="61" hidden="0" customWidth="1"/>
    <x:col min="6" max="6" width="61" hidden="0" customWidth="1"/>
    <x:col min="7" max="7" width="32" hidden="0" customWidth="1"/>
    <x:col min="8" max="8" width="25" hidden="0" customWidth="1"/>
    <x:col min="9" max="9" width="23" hidden="0" customWidth="1"/>
    <x:col min="10" max="10" width="18" hidden="0" customWidth="1"/>
    <x:col min="11" max="11" width="42" hidden="0" customWidth="1"/>
    <x:col min="12" max="12" width="43" hidden="0" customWidth="1"/>
    <x:col min="13" max="13" width="25" hidden="0" customWidth="1"/>
    <x:col min="14" max="14" width="17" hidden="0" customWidth="1"/>
    <x:col min="15" max="15" width="20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4" t="str">
        <x:v>Purchase request · DigiKey</x:v>
      </x:c>
      <x:c r="B2" s="5"/>
      <x:c r="C2" s="5"/>
      <x:c r="D2" s="5"/>
      <x:c r="E2" s="5"/>
      <x:c r="F2" s="5"/>
      <x:c r="G2" s="2"/>
      <x:c r="H2" s="2"/>
      <x:c r="I2" s="2"/>
      <x:c r="J2" s="2"/>
      <x:c r="K2" s="2"/>
      <x:c r="L2" s="2"/>
      <x:c r="M2" s="2"/>
      <x:c r="N2" s="2"/>
      <x:c r="O2" s="2"/>
    </x:row>
    <x:row r="3" ht="23" customHeight="1">
      <x:c r="A3" s="2" t="str">
        <x:v>Vendor materials subtotal (USD)</x:v>
      </x:c>
      <x:c r="B3" s="2"/>
      <x:c r="C3" s="2"/>
      <x:c r="D3" s="2"/>
      <x:c r="E3" s="7" t="n">
        <x:f>SUM(J8:J24)</x:f>
        <x:v>175.36999999999995</x:v>
      </x:c>
      <x:c r="F3" s="2" t="str">
        <x:v>Shipping, tariffs, tax, fabrication and labor excluded.</x:v>
      </x:c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8" t="str">
        <x:v>One vendor per request. Quantity counts selling units; each can mean one complete pack or roll.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 ht="23" customHeight="1">
      <x:c r="A5" s="8" t="str">
        <x:v>Professor to confirm consumable classification. Review collection notes before submitting.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</x:row>
    <x:row r="6" ht="1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54" customHeight="1">
      <x:c r="A7" s="17" t="str">
        <x:v>Quantity</x:v>
      </x:c>
      <x:c r="B7" s="18" t="str">
        <x:v>Units</x:v>
      </x:c>
      <x:c r="C7" s="18" t="str">
        <x:v>Price (USD / unit)</x:v>
      </x:c>
      <x:c r="D7" s="18" t="str">
        <x:v>Catalog/Part #</x:v>
      </x:c>
      <x:c r="E7" s="18" t="str">
        <x:v>Description</x:v>
      </x:c>
      <x:c r="F7" s="18" t="str">
        <x:v>Item URL</x:v>
      </x:c>
      <x:c r="G7" s="18" t="str">
        <x:v>Is this item consumable or be in use for less than 1 year before disposal?</x:v>
      </x:c>
      <x:c r="H7" s="18" t="str">
        <x:v>Is this a repair part or service?</x:v>
      </x:c>
      <x:c r="I7" s="18" t="str">
        <x:v>No Delivery Expected</x:v>
      </x:c>
      <x:c r="J7" s="18" t="str">
        <x:v>Line total (USD)</x:v>
      </x:c>
      <x:c r="K7" s="18" t="str">
        <x:v>Selling unit / package contents</x:v>
      </x:c>
      <x:c r="L7" s="18" t="str">
        <x:v>Collection / fulfillment</x:v>
      </x:c>
      <x:c r="M7" s="18" t="str">
        <x:v>Manufacturer / Model #</x:v>
      </x:c>
      <x:c r="N7" s="18" t="str">
        <x:v>Price checked</x:v>
      </x:c>
      <x:c r="O7" s="19" t="str">
        <x:v>Description checked</x:v>
      </x:c>
    </x:row>
    <x:row r="8" ht="40" customHeight="1">
      <x:c r="A8" s="31" t="n">
        <x:v>1</x:v>
      </x:c>
      <x:c r="B8" s="32" t="str">
        <x:v>each</x:v>
      </x:c>
      <x:c r="C8" s="33" t="n">
        <x:v>111.88</x:v>
      </x:c>
      <x:c r="D8" s="34" t="str">
        <x:v>377-1789-ND</x:v>
      </x:c>
      <x:c r="E8" s="34" t="str">
        <x:v>BOX ABS/PC 15.74"L X 11.81"W</x:v>
      </x:c>
      <x:c r="F8" s="34" t="str">
        <x:v>https://www.digikey.com/en/products/detail/bud-industries/NBF-32226/2328561</x:v>
      </x:c>
      <x:c r="G8" s="35" t="str">
        <x:v>Professor to confirm</x:v>
      </x:c>
      <x:c r="H8" s="35" t="str">
        <x:v>No</x:v>
      </x:c>
      <x:c r="I8" s="35" t="str">
        <x:v>Unchecked</x:v>
      </x:c>
      <x:c r="J8" s="36" t="n">
        <x:f>ROUND(A8*C8,2)</x:f>
        <x:v>111.88</x:v>
      </x:c>
      <x:c r="K8" s="32" t="str">
        <x:v>One individual item per each.</x:v>
      </x:c>
      <x:c r="L8" s="32" t="str"/>
      <x:c r="M8" s="35" t="str">
        <x:v>NBF-32226</x:v>
      </x:c>
      <x:c r="N8" s="37" t="n">
        <x:v>46294</x:v>
      </x:c>
      <x:c r="O8" s="37" t="n">
        <x:v>46294</x:v>
      </x:c>
    </x:row>
    <x:row r="9" ht="40" customHeight="1">
      <x:c r="A9" s="28" t="n">
        <x:v>1</x:v>
      </x:c>
      <x:c r="B9" s="20" t="str">
        <x:v>each</x:v>
      </x:c>
      <x:c r="C9" s="29" t="n">
        <x:v>21.57</x:v>
      </x:c>
      <x:c r="D9" s="24" t="str">
        <x:v>277-11849-ND</x:v>
      </x:c>
      <x:c r="E9" s="24" t="str">
        <x:v>CIR BRKR 15A 277VAC 60VDC</x:v>
      </x:c>
      <x:c r="F9" s="24" t="str">
        <x:v>https://www.digikey.com/en/products/detail/phoenix-contact/2907571/6109707</x:v>
      </x:c>
      <x:c r="G9" s="25" t="str">
        <x:v>Professor to confirm</x:v>
      </x:c>
      <x:c r="H9" s="25" t="str">
        <x:v>No</x:v>
      </x:c>
      <x:c r="I9" s="25" t="str">
        <x:v>Unchecked</x:v>
      </x:c>
      <x:c r="J9" s="30" t="n">
        <x:f>ROUND(A9*C9,2)</x:f>
        <x:v>21.57</x:v>
      </x:c>
      <x:c r="K9" s="20" t="str">
        <x:v>One individual item per each.</x:v>
      </x:c>
      <x:c r="L9" s="20" t="str"/>
      <x:c r="M9" s="25" t="str">
        <x:v>2907571</x:v>
      </x:c>
      <x:c r="N9" s="26" t="n">
        <x:v>46294</x:v>
      </x:c>
      <x:c r="O9" s="26" t="n">
        <x:v>46294</x:v>
      </x:c>
    </x:row>
    <x:row r="10" ht="40" customHeight="1">
      <x:c r="A10" s="31" t="n">
        <x:v>3</x:v>
      </x:c>
      <x:c r="B10" s="32" t="str">
        <x:v>each</x:v>
      </x:c>
      <x:c r="C10" s="33" t="n">
        <x:v>1.17</x:v>
      </x:c>
      <x:c r="D10" s="34" t="str">
        <x:v>2946-221-415-ND</x:v>
      </x:c>
      <x:c r="E10" s="34" t="str">
        <x:v>SPLICE LEVER 24-12AWG 5POS</x:v>
      </x:c>
      <x:c r="F10" s="34" t="str">
        <x:v>https://www.digikey.com/en/products/detail/wago-corporation/221-415/13549457</x:v>
      </x:c>
      <x:c r="G10" s="35" t="str">
        <x:v>Professor to confirm</x:v>
      </x:c>
      <x:c r="H10" s="35" t="str">
        <x:v>No</x:v>
      </x:c>
      <x:c r="I10" s="35" t="str">
        <x:v>Unchecked</x:v>
      </x:c>
      <x:c r="J10" s="36" t="n">
        <x:f>ROUND(A10*C10,2)</x:f>
        <x:v>3.51</x:v>
      </x:c>
      <x:c r="K10" s="32" t="str">
        <x:v>One individual item per each.</x:v>
      </x:c>
      <x:c r="L10" s="32" t="str"/>
      <x:c r="M10" s="35" t="str">
        <x:v>221-415</x:v>
      </x:c>
      <x:c r="N10" s="37" t="n">
        <x:v>46294</x:v>
      </x:c>
      <x:c r="O10" s="37" t="n">
        <x:v>46294</x:v>
      </x:c>
    </x:row>
    <x:row r="11" ht="40" customHeight="1">
      <x:c r="A11" s="28" t="n">
        <x:v>3</x:v>
      </x:c>
      <x:c r="B11" s="20" t="str">
        <x:v>each</x:v>
      </x:c>
      <x:c r="C11" s="29" t="n">
        <x:v>2.23</x:v>
      </x:c>
      <x:c r="D11" s="24" t="str">
        <x:v>2946-221-505-ND</x:v>
      </x:c>
      <x:c r="E11" s="24" t="str">
        <x:v>CARRIER SCREW MNT 5POS WHITE</x:v>
      </x:c>
      <x:c r="F11" s="24" t="str">
        <x:v>https://www.digikey.com/en/products/detail/wago-corporation/221-505/15568477</x:v>
      </x:c>
      <x:c r="G11" s="25" t="str">
        <x:v>Professor to confirm</x:v>
      </x:c>
      <x:c r="H11" s="25" t="str">
        <x:v>No</x:v>
      </x:c>
      <x:c r="I11" s="25" t="str">
        <x:v>Unchecked</x:v>
      </x:c>
      <x:c r="J11" s="30" t="n">
        <x:f>ROUND(A11*C11,2)</x:f>
        <x:v>6.69</x:v>
      </x:c>
      <x:c r="K11" s="20" t="str">
        <x:v>One individual item per each.</x:v>
      </x:c>
      <x:c r="L11" s="20" t="str"/>
      <x:c r="M11" s="25" t="str">
        <x:v>221-505</x:v>
      </x:c>
      <x:c r="N11" s="26" t="n">
        <x:v>46294</x:v>
      </x:c>
      <x:c r="O11" s="26" t="n">
        <x:v>46294</x:v>
      </x:c>
    </x:row>
    <x:row r="12" ht="40" customHeight="1">
      <x:c r="A12" s="31" t="n">
        <x:v>2</x:v>
      </x:c>
      <x:c r="B12" s="32" t="str">
        <x:v>each</x:v>
      </x:c>
      <x:c r="C12" s="33" t="n">
        <x:v>1.44</x:v>
      </x:c>
      <x:c r="D12" s="34" t="str">
        <x:v>3720-M3231-ND</x:v>
      </x:c>
      <x:c r="E12" s="34" t="str">
        <x:v>CABLE GRIP 4.32-11.43MM 1/2" NPT</x:v>
      </x:c>
      <x:c r="F12" s="34" t="str">
        <x:v>https://www.digikey.com/en/products/detail/heyco-products-corporation/M3231/15906457</x:v>
      </x:c>
      <x:c r="G12" s="35" t="str">
        <x:v>Professor to confirm</x:v>
      </x:c>
      <x:c r="H12" s="35" t="str">
        <x:v>No</x:v>
      </x:c>
      <x:c r="I12" s="35" t="str">
        <x:v>Unchecked</x:v>
      </x:c>
      <x:c r="J12" s="36" t="n">
        <x:f>ROUND(A12*C12,2)</x:f>
        <x:v>2.88</x:v>
      </x:c>
      <x:c r="K12" s="32" t="str">
        <x:v>One individual item per each.</x:v>
      </x:c>
      <x:c r="L12" s="32" t="str"/>
      <x:c r="M12" s="35" t="str">
        <x:v>M3231</x:v>
      </x:c>
      <x:c r="N12" s="37" t="n">
        <x:v>46294</x:v>
      </x:c>
      <x:c r="O12" s="37" t="n">
        <x:v>46294</x:v>
      </x:c>
    </x:row>
    <x:row r="13" ht="40" customHeight="1">
      <x:c r="A13" s="28" t="n">
        <x:v>6</x:v>
      </x:c>
      <x:c r="B13" s="20" t="str">
        <x:v>each</x:v>
      </x:c>
      <x:c r="C13" s="29" t="n">
        <x:v>0.68</x:v>
      </x:c>
      <x:c r="D13" s="24" t="str">
        <x:v>298-10245-ND</x:v>
      </x:c>
      <x:c r="E13" s="24" t="str">
        <x:v>CABLE TIE HLDR DUAL SCREW #8 NAT</x:v>
      </x:c>
      <x:c r="F13" s="24" t="str">
        <x:v>https://www.digikey.com/en/products/detail/panduit-corp/TM2S8-C/1306625</x:v>
      </x:c>
      <x:c r="G13" s="25" t="str">
        <x:v>Professor to confirm</x:v>
      </x:c>
      <x:c r="H13" s="25" t="str">
        <x:v>No</x:v>
      </x:c>
      <x:c r="I13" s="25" t="str">
        <x:v>Unchecked</x:v>
      </x:c>
      <x:c r="J13" s="30" t="n">
        <x:f>ROUND(A13*C13,2)</x:f>
        <x:v>4.08</x:v>
      </x:c>
      <x:c r="K13" s="20" t="str">
        <x:v>One individual item per each.</x:v>
      </x:c>
      <x:c r="L13" s="20" t="str"/>
      <x:c r="M13" s="25" t="str">
        <x:v>TM2S8-C</x:v>
      </x:c>
      <x:c r="N13" s="26" t="n">
        <x:v>46294</x:v>
      </x:c>
      <x:c r="O13" s="26" t="n">
        <x:v>46294</x:v>
      </x:c>
    </x:row>
    <x:row r="14" ht="40" customHeight="1">
      <x:c r="A14" s="31" t="n">
        <x:v>10</x:v>
      </x:c>
      <x:c r="B14" s="32" t="str">
        <x:v>each</x:v>
      </x:c>
      <x:c r="C14" s="33" t="n">
        <x:v>0.316</x:v>
      </x:c>
      <x:c r="D14" s="34" t="str">
        <x:v>298-1030-ND</x:v>
      </x:c>
      <x:c r="E14" s="34" t="str">
        <x:v>CBL TIE LOCKING NAT 50LB 7.40"</x:v>
      </x:c>
      <x:c r="F14" s="34" t="str">
        <x:v>https://www.digikey.com/en/products/detail/panduit-corp/PLT2S-C/280043</x:v>
      </x:c>
      <x:c r="G14" s="35" t="str">
        <x:v>Professor to confirm</x:v>
      </x:c>
      <x:c r="H14" s="35" t="str">
        <x:v>No</x:v>
      </x:c>
      <x:c r="I14" s="35" t="str">
        <x:v>Unchecked</x:v>
      </x:c>
      <x:c r="J14" s="36" t="n">
        <x:f>ROUND(A14*C14,2)</x:f>
        <x:v>3.16</x:v>
      </x:c>
      <x:c r="K14" s="32" t="str">
        <x:v>One individual item per each.</x:v>
      </x:c>
      <x:c r="L14" s="32" t="str"/>
      <x:c r="M14" s="35" t="str">
        <x:v>PLT2S-C</x:v>
      </x:c>
      <x:c r="N14" s="37" t="n">
        <x:v>46294</x:v>
      </x:c>
      <x:c r="O14" s="37" t="n">
        <x:v>46294</x:v>
      </x:c>
    </x:row>
    <x:row r="15" ht="40" customHeight="1">
      <x:c r="A15" s="28" t="n">
        <x:v>10</x:v>
      </x:c>
      <x:c r="B15" s="20" t="str">
        <x:v>each</x:v>
      </x:c>
      <x:c r="C15" s="29" t="n">
        <x:v>0.084</x:v>
      </x:c>
      <x:c r="D15" s="24" t="str">
        <x:v>36-4692-ND</x:v>
      </x:c>
      <x:c r="E15" s="24" t="str">
        <x:v>WASHER FLAT #4 STEEL</x:v>
      </x:c>
      <x:c r="F15" s="24" t="str">
        <x:v>https://www.digikey.com/en/products/detail/keystone-electronics/4692/316261</x:v>
      </x:c>
      <x:c r="G15" s="25" t="str">
        <x:v>Professor to confirm</x:v>
      </x:c>
      <x:c r="H15" s="25" t="str">
        <x:v>No</x:v>
      </x:c>
      <x:c r="I15" s="25" t="str">
        <x:v>Unchecked</x:v>
      </x:c>
      <x:c r="J15" s="30" t="n">
        <x:f>ROUND(A15*C15,2)</x:f>
        <x:v>0.84</x:v>
      </x:c>
      <x:c r="K15" s="20" t="str">
        <x:v>One individual item per each.</x:v>
      </x:c>
      <x:c r="L15" s="20" t="str"/>
      <x:c r="M15" s="25" t="str">
        <x:v>4692</x:v>
      </x:c>
      <x:c r="N15" s="26" t="n">
        <x:v>46294</x:v>
      </x:c>
      <x:c r="O15" s="26" t="n">
        <x:v>46294</x:v>
      </x:c>
    </x:row>
    <x:row r="16" ht="40" customHeight="1">
      <x:c r="A16" s="31" t="n">
        <x:v>2</x:v>
      </x:c>
      <x:c r="B16" s="32" t="str">
        <x:v>each</x:v>
      </x:c>
      <x:c r="C16" s="33" t="n">
        <x:v>0.39</x:v>
      </x:c>
      <x:c r="D16" s="34" t="str">
        <x:v>36-9911-ND</x:v>
      </x:c>
      <x:c r="E16" s="34" t="str">
        <x:v>MACH SCREW PAN PHILLIPS #10-32</x:v>
      </x:c>
      <x:c r="F16" s="34" t="str">
        <x:v>https://www.digikey.com/en/products/detail/keystone-electronics/9911/317331</x:v>
      </x:c>
      <x:c r="G16" s="35" t="str">
        <x:v>Professor to confirm</x:v>
      </x:c>
      <x:c r="H16" s="35" t="str">
        <x:v>No</x:v>
      </x:c>
      <x:c r="I16" s="35" t="str">
        <x:v>Unchecked</x:v>
      </x:c>
      <x:c r="J16" s="36" t="n">
        <x:f>ROUND(A16*C16,2)</x:f>
        <x:v>0.78</x:v>
      </x:c>
      <x:c r="K16" s="32" t="str">
        <x:v>One individual item per each.</x:v>
      </x:c>
      <x:c r="L16" s="32" t="str"/>
      <x:c r="M16" s="35" t="str">
        <x:v>9911</x:v>
      </x:c>
      <x:c r="N16" s="37" t="n">
        <x:v>46294</x:v>
      </x:c>
      <x:c r="O16" s="37" t="n">
        <x:v>46294</x:v>
      </x:c>
    </x:row>
    <x:row r="17" ht="40" customHeight="1">
      <x:c r="A17" s="28" t="n">
        <x:v>4</x:v>
      </x:c>
      <x:c r="B17" s="20" t="str">
        <x:v>each</x:v>
      </x:c>
      <x:c r="C17" s="29" t="n">
        <x:v>0.12</x:v>
      </x:c>
      <x:c r="D17" s="24" t="str">
        <x:v>36-4705-ND</x:v>
      </x:c>
      <x:c r="E17" s="24" t="str">
        <x:v>NUT HEX STEEL #10-32</x:v>
      </x:c>
      <x:c r="F17" s="24" t="str">
        <x:v>https://www.digikey.com/en/products/detail/keystone-electronics/4705/316276</x:v>
      </x:c>
      <x:c r="G17" s="25" t="str">
        <x:v>Professor to confirm</x:v>
      </x:c>
      <x:c r="H17" s="25" t="str">
        <x:v>No</x:v>
      </x:c>
      <x:c r="I17" s="25" t="str">
        <x:v>Unchecked</x:v>
      </x:c>
      <x:c r="J17" s="30" t="n">
        <x:f>ROUND(A17*C17,2)</x:f>
        <x:v>0.48</x:v>
      </x:c>
      <x:c r="K17" s="20" t="str">
        <x:v>One individual item per each.</x:v>
      </x:c>
      <x:c r="L17" s="20" t="str"/>
      <x:c r="M17" s="25" t="str">
        <x:v>4705</x:v>
      </x:c>
      <x:c r="N17" s="26" t="n">
        <x:v>46294</x:v>
      </x:c>
      <x:c r="O17" s="26" t="n">
        <x:v>46294</x:v>
      </x:c>
    </x:row>
    <x:row r="18" ht="40" customHeight="1">
      <x:c r="A18" s="31" t="n">
        <x:v>4</x:v>
      </x:c>
      <x:c r="B18" s="32" t="str">
        <x:v>each</x:v>
      </x:c>
      <x:c r="C18" s="33" t="n">
        <x:v>0.13</x:v>
      </x:c>
      <x:c r="D18" s="34" t="str">
        <x:v>36-4703-ND</x:v>
      </x:c>
      <x:c r="E18" s="34" t="str">
        <x:v>WASHER FLAT #10 STEEL</x:v>
      </x:c>
      <x:c r="F18" s="34" t="str">
        <x:v>https://www.digikey.com/en/products/detail/keystone-electronics/4703/316274</x:v>
      </x:c>
      <x:c r="G18" s="35" t="str">
        <x:v>Professor to confirm</x:v>
      </x:c>
      <x:c r="H18" s="35" t="str">
        <x:v>No</x:v>
      </x:c>
      <x:c r="I18" s="35" t="str">
        <x:v>Unchecked</x:v>
      </x:c>
      <x:c r="J18" s="36" t="n">
        <x:f>ROUND(A18*C18,2)</x:f>
        <x:v>0.52</x:v>
      </x:c>
      <x:c r="K18" s="32" t="str">
        <x:v>One individual item per each.</x:v>
      </x:c>
      <x:c r="L18" s="32" t="str"/>
      <x:c r="M18" s="35" t="str">
        <x:v>4703</x:v>
      </x:c>
      <x:c r="N18" s="37" t="n">
        <x:v>46294</x:v>
      </x:c>
      <x:c r="O18" s="37" t="n">
        <x:v>46294</x:v>
      </x:c>
    </x:row>
    <x:row r="19" ht="40" customHeight="1">
      <x:c r="A19" s="28" t="n">
        <x:v>1</x:v>
      </x:c>
      <x:c r="B19" s="20" t="str">
        <x:v>each</x:v>
      </x:c>
      <x:c r="C19" s="29" t="n">
        <x:v>9.39</x:v>
      </x:c>
      <x:c r="D19" s="24" t="str">
        <x:v>F2213/4BK105-ND</x:v>
      </x:c>
      <x:c r="E19" s="24" t="str">
        <x:v>HEATSHRINK 3/4" X 4' BLACK</x:v>
      </x:c>
      <x:c r="F19" s="24" t="str">
        <x:v>https://www.digikey.com/en/products/detail/alpha-wire/F2213-4-BK105/3718418</x:v>
      </x:c>
      <x:c r="G19" s="25" t="str">
        <x:v>Professor to confirm</x:v>
      </x:c>
      <x:c r="H19" s="25" t="str">
        <x:v>No</x:v>
      </x:c>
      <x:c r="I19" s="25" t="str">
        <x:v>Unchecked</x:v>
      </x:c>
      <x:c r="J19" s="30" t="n">
        <x:f>ROUND(A19*C19,2)</x:f>
        <x:v>9.39</x:v>
      </x:c>
      <x:c r="K19" s="20" t="str">
        <x:v>One 4 ft stick; each = one whole stick.</x:v>
      </x:c>
      <x:c r="L19" s="20" t="str"/>
      <x:c r="M19" s="25" t="str">
        <x:v>F2213/4 BK105</x:v>
      </x:c>
      <x:c r="N19" s="26" t="n">
        <x:v>46294</x:v>
      </x:c>
      <x:c r="O19" s="26" t="n">
        <x:v>46294</x:v>
      </x:c>
    </x:row>
    <x:row r="20" ht="40" customHeight="1">
      <x:c r="A20" s="31" t="n">
        <x:v>1</x:v>
      </x:c>
      <x:c r="B20" s="32" t="str">
        <x:v>each</x:v>
      </x:c>
      <x:c r="C20" s="33" t="n">
        <x:v>0.14</x:v>
      </x:c>
      <x:c r="D20" s="34" t="str">
        <x:v>3720-3104-ND</x:v>
      </x:c>
      <x:c r="E20" s="34" t="str">
        <x:v>BUSHING 0.690" PA66 BLACK</x:v>
      </x:c>
      <x:c r="F20" s="34" t="str">
        <x:v>https://www.digikey.com/en/products/detail/heyco-products-corporation/3104/15907204</x:v>
      </x:c>
      <x:c r="G20" s="35" t="str">
        <x:v>Professor to confirm</x:v>
      </x:c>
      <x:c r="H20" s="35" t="str">
        <x:v>No</x:v>
      </x:c>
      <x:c r="I20" s="35" t="str">
        <x:v>Unchecked</x:v>
      </x:c>
      <x:c r="J20" s="36" t="n">
        <x:f>ROUND(A20*C20,2)</x:f>
        <x:v>0.14</x:v>
      </x:c>
      <x:c r="K20" s="32" t="str">
        <x:v>One individual item per each.</x:v>
      </x:c>
      <x:c r="L20" s="32" t="str"/>
      <x:c r="M20" s="35" t="str">
        <x:v>3104</x:v>
      </x:c>
      <x:c r="N20" s="37" t="n">
        <x:v>46294</x:v>
      </x:c>
      <x:c r="O20" s="37" t="n">
        <x:v>46294</x:v>
      </x:c>
    </x:row>
    <x:row r="21" ht="40" customHeight="1">
      <x:c r="A21" s="28" t="n">
        <x:v>1</x:v>
      </x:c>
      <x:c r="B21" s="20" t="str">
        <x:v>each</x:v>
      </x:c>
      <x:c r="C21" s="29" t="n">
        <x:v>4.79</x:v>
      </x:c>
      <x:c r="D21" s="24" t="str">
        <x:v>277-1207639-ND</x:v>
      </x:c>
      <x:c r="E21" s="24" t="str">
        <x:v>DIN RAIL 35MMX7MM SLOT 9.8" STL</x:v>
      </x:c>
      <x:c r="F21" s="24" t="str">
        <x:v>https://www.digikey.com/en/products/detail/phoenix-contact/1207639/10645207</x:v>
      </x:c>
      <x:c r="G21" s="25" t="str">
        <x:v>Professor to confirm</x:v>
      </x:c>
      <x:c r="H21" s="25" t="str">
        <x:v>No</x:v>
      </x:c>
      <x:c r="I21" s="25" t="str">
        <x:v>Unchecked</x:v>
      </x:c>
      <x:c r="J21" s="30" t="n">
        <x:f>ROUND(A21*C21,2)</x:f>
        <x:v>4.79</x:v>
      </x:c>
      <x:c r="K21" s="20" t="str">
        <x:v>One 250 mm rail; cut the required 60 mm during fabrication.</x:v>
      </x:c>
      <x:c r="L21" s="20" t="str"/>
      <x:c r="M21" s="25" t="str">
        <x:v>1207639</x:v>
      </x:c>
      <x:c r="N21" s="26" t="n">
        <x:v>46294</x:v>
      </x:c>
      <x:c r="O21" s="26" t="n">
        <x:v>46294</x:v>
      </x:c>
    </x:row>
    <x:row r="22" ht="40" customHeight="1">
      <x:c r="A22" s="31" t="n">
        <x:v>2</x:v>
      </x:c>
      <x:c r="B22" s="32" t="str">
        <x:v>each</x:v>
      </x:c>
      <x:c r="C22" s="33" t="n">
        <x:v>0.62</x:v>
      </x:c>
      <x:c r="D22" s="34" t="str">
        <x:v>1920-1246-ND</x:v>
      </x:c>
      <x:c r="E22" s="34" t="str">
        <x:v>CONN TERM BLK END STOP</x:v>
      </x:c>
      <x:c r="F22" s="34" t="str">
        <x:v>https://www.digikey.com/en/products/detail/altech-corporation/CA802/8547037</x:v>
      </x:c>
      <x:c r="G22" s="35" t="str">
        <x:v>Professor to confirm</x:v>
      </x:c>
      <x:c r="H22" s="35" t="str">
        <x:v>No</x:v>
      </x:c>
      <x:c r="I22" s="35" t="str">
        <x:v>Unchecked</x:v>
      </x:c>
      <x:c r="J22" s="36" t="n">
        <x:f>ROUND(A22*C22,2)</x:f>
        <x:v>1.24</x:v>
      </x:c>
      <x:c r="K22" s="32" t="str">
        <x:v>One individual item per each.</x:v>
      </x:c>
      <x:c r="L22" s="32" t="str"/>
      <x:c r="M22" s="35" t="str">
        <x:v>CA802</x:v>
      </x:c>
      <x:c r="N22" s="37" t="n">
        <x:v>46294</x:v>
      </x:c>
      <x:c r="O22" s="37" t="n">
        <x:v>46294</x:v>
      </x:c>
    </x:row>
    <x:row r="23" ht="40" customHeight="1">
      <x:c r="A23" s="28" t="n">
        <x:v>2</x:v>
      </x:c>
      <x:c r="B23" s="20" t="str">
        <x:v>each</x:v>
      </x:c>
      <x:c r="C23" s="29" t="n">
        <x:v>0.32</x:v>
      </x:c>
      <x:c r="D23" s="24" t="str">
        <x:v>3720-8463-ND</x:v>
      </x:c>
      <x:c r="E23" s="24" t="str">
        <x:v>NLN 1/2 NPT BLACK</x:v>
      </x:c>
      <x:c r="F23" s="24" t="str">
        <x:v>https://www.digikey.com/en/products/detail/heyco-products-corporation/8463/15906932</x:v>
      </x:c>
      <x:c r="G23" s="25" t="str">
        <x:v>Professor to confirm</x:v>
      </x:c>
      <x:c r="H23" s="25" t="str">
        <x:v>No</x:v>
      </x:c>
      <x:c r="I23" s="25" t="str">
        <x:v>Unchecked</x:v>
      </x:c>
      <x:c r="J23" s="30" t="n">
        <x:f>ROUND(A23*C23,2)</x:f>
        <x:v>0.64</x:v>
      </x:c>
      <x:c r="K23" s="20" t="str">
        <x:v>One individual item per each.</x:v>
      </x:c>
      <x:c r="L23" s="20" t="str"/>
      <x:c r="M23" s="25" t="str">
        <x:v>8463</x:v>
      </x:c>
      <x:c r="N23" s="26" t="n">
        <x:v>46294</x:v>
      </x:c>
      <x:c r="O23" s="26" t="n">
        <x:v>46294</x:v>
      </x:c>
    </x:row>
    <x:row r="24" ht="40" customHeight="1">
      <x:c r="A24" s="31" t="n">
        <x:v>2</x:v>
      </x:c>
      <x:c r="B24" s="32" t="str">
        <x:v>each</x:v>
      </x:c>
      <x:c r="C24" s="33" t="n">
        <x:v>1.39</x:v>
      </x:c>
      <x:c r="D24" s="34" t="str">
        <x:v>732-10676-ND</x:v>
      </x:c>
      <x:c r="E24" s="34" t="str">
        <x:v>HEX STANDOFF M5 STEEL 65MM</x:v>
      </x:c>
      <x:c r="F24" s="34" t="str">
        <x:v>https://www.digikey.com/en/products/detail/w%C3%BCrth-elektronik/970650581/6174896</x:v>
      </x:c>
      <x:c r="G24" s="35" t="str">
        <x:v>Professor to confirm</x:v>
      </x:c>
      <x:c r="H24" s="35" t="str">
        <x:v>No</x:v>
      </x:c>
      <x:c r="I24" s="35" t="str">
        <x:v>Unchecked</x:v>
      </x:c>
      <x:c r="J24" s="36" t="n">
        <x:f>ROUND(A24*C24,2)</x:f>
        <x:v>2.78</x:v>
      </x:c>
      <x:c r="K24" s="32" t="str">
        <x:v>One individual item per each.</x:v>
      </x:c>
      <x:c r="L24" s="32" t="str"/>
      <x:c r="M24" s="35" t="str">
        <x:v>970650581</x:v>
      </x:c>
      <x:c r="N24" s="37" t="n">
        <x:v>46294</x:v>
      </x:c>
      <x:c r="O24" s="37" t="n">
        <x:v>46294</x:v>
      </x:c>
    </x:row>
  </x:sheetData>
  <x:conditionalFormatting sqref="G8:G24">
    <x:cfRule type="containsText" dxfId="0" priority="1" operator="containsText" text="Professor to confirm"/>
  </x:conditionalFormatting>
  <x:dataValidations count="2">
    <x:dataValidation type="list" sqref="B8:B24">
      <x:formula1>"each,feet"</x:formula1>
    </x:dataValidation>
    <x:dataValidation type="list" sqref="G8:G24">
      <x:formula1>"Professor to confirm,Yes,No"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F64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24" hidden="0" customWidth="1"/>
    <x:col min="5" max="5" width="61" hidden="0" customWidth="1"/>
    <x:col min="6" max="6" width="61" hidden="0" customWidth="1"/>
    <x:col min="7" max="7" width="32" hidden="0" customWidth="1"/>
    <x:col min="8" max="8" width="25" hidden="0" customWidth="1"/>
    <x:col min="9" max="9" width="23" hidden="0" customWidth="1"/>
    <x:col min="10" max="10" width="18" hidden="0" customWidth="1"/>
    <x:col min="11" max="11" width="42" hidden="0" customWidth="1"/>
    <x:col min="12" max="12" width="43" hidden="0" customWidth="1"/>
    <x:col min="13" max="13" width="25" hidden="0" customWidth="1"/>
    <x:col min="14" max="14" width="17" hidden="0" customWidth="1"/>
    <x:col min="15" max="15" width="20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4" t="str">
        <x:v>Purchase request · Home Depot</x:v>
      </x:c>
      <x:c r="B2" s="5"/>
      <x:c r="C2" s="5"/>
      <x:c r="D2" s="5"/>
      <x:c r="E2" s="5"/>
      <x:c r="F2" s="5"/>
      <x:c r="G2" s="2"/>
      <x:c r="H2" s="2"/>
      <x:c r="I2" s="2"/>
      <x:c r="J2" s="2"/>
      <x:c r="K2" s="2"/>
      <x:c r="L2" s="2"/>
      <x:c r="M2" s="2"/>
      <x:c r="N2" s="2"/>
      <x:c r="O2" s="2"/>
    </x:row>
    <x:row r="3" ht="23" customHeight="1">
      <x:c r="A3" s="2" t="str">
        <x:v>Vendor materials subtotal (USD)</x:v>
      </x:c>
      <x:c r="B3" s="2"/>
      <x:c r="C3" s="2"/>
      <x:c r="D3" s="2"/>
      <x:c r="E3" s="7" t="n">
        <x:f>SUM(J8:J23)</x:f>
        <x:v>97.63000000000001</x:v>
      </x:c>
      <x:c r="F3" s="2" t="str">
        <x:v>Shipping, tariffs, tax, fabrication and labor excluded.</x:v>
      </x:c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8" t="str">
        <x:v>One vendor per request. Quantity counts selling units; each can mean one complete pack or roll.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 ht="23" customHeight="1">
      <x:c r="A5" s="8" t="str">
        <x:v>Professor to confirm consumable classification. Review collection notes before submitting.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</x:row>
    <x:row r="6" ht="1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54" customHeight="1">
      <x:c r="A7" s="17" t="str">
        <x:v>Quantity</x:v>
      </x:c>
      <x:c r="B7" s="18" t="str">
        <x:v>Units</x:v>
      </x:c>
      <x:c r="C7" s="18" t="str">
        <x:v>Price (USD / unit)</x:v>
      </x:c>
      <x:c r="D7" s="18" t="str">
        <x:v>Catalog/Part #</x:v>
      </x:c>
      <x:c r="E7" s="18" t="str">
        <x:v>Description</x:v>
      </x:c>
      <x:c r="F7" s="18" t="str">
        <x:v>Item URL</x:v>
      </x:c>
      <x:c r="G7" s="18" t="str">
        <x:v>Is this item consumable or be in use for less than 1 year before disposal?</x:v>
      </x:c>
      <x:c r="H7" s="18" t="str">
        <x:v>Is this a repair part or service?</x:v>
      </x:c>
      <x:c r="I7" s="18" t="str">
        <x:v>No Delivery Expected</x:v>
      </x:c>
      <x:c r="J7" s="18" t="str">
        <x:v>Line total (USD)</x:v>
      </x:c>
      <x:c r="K7" s="18" t="str">
        <x:v>Selling unit / package contents</x:v>
      </x:c>
      <x:c r="L7" s="18" t="str">
        <x:v>Collection / fulfillment</x:v>
      </x:c>
      <x:c r="M7" s="18" t="str">
        <x:v>Manufacturer / Model #</x:v>
      </x:c>
      <x:c r="N7" s="18" t="str">
        <x:v>Price checked</x:v>
      </x:c>
      <x:c r="O7" s="19" t="str">
        <x:v>Description checked</x:v>
      </x:c>
    </x:row>
    <x:row r="8" ht="50" customHeight="1">
      <x:c r="A8" s="31" t="n">
        <x:v>2</x:v>
      </x:c>
      <x:c r="B8" s="32" t="str">
        <x:v>each</x:v>
      </x:c>
      <x:c r="C8" s="33" t="n">
        <x:v>6.99</x:v>
      </x:c>
      <x:c r="D8" s="34" t="str">
        <x:v>301304939</x:v>
      </x:c>
      <x:c r="E8" s="34" t="str">
        <x:v>15 Amp 125-Volt Grounding Connector, Yellow 515CV</x:v>
      </x:c>
      <x:c r="F8" s="34" t="str">
        <x:v>https://www.homedepot.com/p/301304939</x:v>
      </x:c>
      <x:c r="G8" s="35" t="str">
        <x:v>Professor to confirm</x:v>
      </x:c>
      <x:c r="H8" s="35" t="str">
        <x:v>No</x:v>
      </x:c>
      <x:c r="I8" s="35" t="str">
        <x:v>Unchecked</x:v>
      </x:c>
      <x:c r="J8" s="36" t="n">
        <x:f>ROUND(A8*C8,2)</x:f>
        <x:v>13.98</x:v>
      </x:c>
      <x:c r="K8" s="32" t="str">
        <x:v>One individual item per each. Two total: one internal XA connector and one printer output connector.</x:v>
      </x:c>
      <x:c r="L8" s="32" t="str"/>
      <x:c r="M8" s="35" t="str">
        <x:v>515CV</x:v>
      </x:c>
      <x:c r="N8" s="37" t="n">
        <x:v>46294</x:v>
      </x:c>
      <x:c r="O8" s="37" t="n">
        <x:v>46294</x:v>
      </x:c>
    </x:row>
    <x:row r="9" ht="50" customHeight="1">
      <x:c r="A9" s="28" t="n">
        <x:v>13</x:v>
      </x:c>
      <x:c r="B9" s="20" t="str">
        <x:v>feet</x:v>
      </x:c>
      <x:c r="C9" s="29" t="n">
        <x:v>1.46</x:v>
      </x:c>
      <x:c r="D9" s="24" t="str">
        <x:v>204633006</x:v>
      </x:c>
      <x:c r="E9" s="24" t="str">
        <x:v>(By-the-Foot) 14/3 300-Volt CU Black Flexible Portable Power SJOOW Cord</x:v>
      </x:c>
      <x:c r="F9" s="24" t="str">
        <x:v>https://www.homedepot.com/p/Southwire-By-the-Foot-14-3-300-Volt-CU-Black-Flexible-Portable-Power-SJOOW-Cord-55808699/204633006</x:v>
      </x:c>
      <x:c r="G9" s="25" t="str">
        <x:v>Professor to confirm</x:v>
      </x:c>
      <x:c r="H9" s="25" t="str">
        <x:v>No</x:v>
      </x:c>
      <x:c r="I9" s="25" t="str">
        <x:v>Unchecked</x:v>
      </x:c>
      <x:c r="J9" s="30" t="n">
        <x:f>ROUND(A9*C9,2)</x:f>
        <x:v>18.98</x:v>
      </x:c>
      <x:c r="K9" s="20" t="str">
        <x:v>One continuous 13 ft length. Price is per foot.</x:v>
      </x:c>
      <x:c r="L9" s="20" t="str">
        <x:v>Champaign store pickup required; delivery unavailable for ZIP 61820. Arrange collection before submitting.</x:v>
      </x:c>
      <x:c r="M9" s="25" t="str">
        <x:v>55808699</x:v>
      </x:c>
      <x:c r="N9" s="26" t="n">
        <x:v>46294</x:v>
      </x:c>
      <x:c r="O9" s="26" t="n">
        <x:v>46294</x:v>
      </x:c>
    </x:row>
    <x:row r="10" ht="40" customHeight="1">
      <x:c r="A10" s="31" t="n">
        <x:v>1</x:v>
      </x:c>
      <x:c r="B10" s="32" t="str">
        <x:v>each</x:v>
      </x:c>
      <x:c r="C10" s="33" t="n">
        <x:v>3.65</x:v>
      </x:c>
      <x:c r="D10" s="34" t="str">
        <x:v>309610976</x:v>
      </x:c>
      <x:c r="E10" s="34" t="str">
        <x:v>15 Amp 125-Volt 3-Wire Plug, Yellow 515PV-YL</x:v>
      </x:c>
      <x:c r="F10" s="34" t="str">
        <x:v>https://www.homedepot.com/p/Leviton-15-Amp-125-Volt-3-Wire-Plug-Yellow-515PV-YL-R10-515PV-0YL/309610976</x:v>
      </x:c>
      <x:c r="G10" s="35" t="str">
        <x:v>Professor to confirm</x:v>
      </x:c>
      <x:c r="H10" s="35" t="str">
        <x:v>No</x:v>
      </x:c>
      <x:c r="I10" s="35" t="str">
        <x:v>Unchecked</x:v>
      </x:c>
      <x:c r="J10" s="36" t="n">
        <x:f>ROUND(A10*C10,2)</x:f>
        <x:v>3.65</x:v>
      </x:c>
      <x:c r="K10" s="32" t="str">
        <x:v>One individual item per each.</x:v>
      </x:c>
      <x:c r="L10" s="32" t="str"/>
      <x:c r="M10" s="35" t="str">
        <x:v>R10-515PV-0YL</x:v>
      </x:c>
      <x:c r="N10" s="37" t="n">
        <x:v>46294</x:v>
      </x:c>
      <x:c r="O10" s="37" t="n">
        <x:v>46294</x:v>
      </x:c>
    </x:row>
    <x:row r="11" ht="50" customHeight="1">
      <x:c r="A11" s="28" t="n">
        <x:v>6</x:v>
      </x:c>
      <x:c r="B11" s="20" t="str">
        <x:v>feet</x:v>
      </x:c>
      <x:c r="C11" s="29" t="n">
        <x:v>0.95</x:v>
      </x:c>
      <x:c r="D11" s="24" t="str">
        <x:v>204632031</x:v>
      </x:c>
      <x:c r="E11" s="24" t="str">
        <x:v>(By-the-Foot) 14 Black Stranded CU THHN Wire</x:v>
      </x:c>
      <x:c r="F11" s="24" t="str">
        <x:v>https://www.homedepot.com/p/204632031</x:v>
      </x:c>
      <x:c r="G11" s="25" t="str">
        <x:v>Professor to confirm</x:v>
      </x:c>
      <x:c r="H11" s="25" t="str">
        <x:v>No</x:v>
      </x:c>
      <x:c r="I11" s="25" t="str">
        <x:v>Unchecked</x:v>
      </x:c>
      <x:c r="J11" s="30" t="n">
        <x:f>ROUND(A11*C11,2)</x:f>
        <x:v>5.7</x:v>
      </x:c>
      <x:c r="K11" s="20" t="str">
        <x:v>One continuous 6 ft length. Price is per foot.</x:v>
      </x:c>
      <x:c r="L11" s="20" t="str">
        <x:v>Champaign store pickup required; delivery unavailable for ZIP 61820. Arrange collection before submitting.</x:v>
      </x:c>
      <x:c r="M11" s="25" t="str">
        <x:v>22955999</x:v>
      </x:c>
      <x:c r="N11" s="26" t="n">
        <x:v>46294</x:v>
      </x:c>
      <x:c r="O11" s="26" t="n">
        <x:v>46294</x:v>
      </x:c>
    </x:row>
    <x:row r="12" ht="50" customHeight="1">
      <x:c r="A12" s="31" t="n">
        <x:v>6</x:v>
      </x:c>
      <x:c r="B12" s="32" t="str">
        <x:v>feet</x:v>
      </x:c>
      <x:c r="C12" s="33" t="n">
        <x:v>0.91</x:v>
      </x:c>
      <x:c r="D12" s="34" t="str">
        <x:v>204632154</x:v>
      </x:c>
      <x:c r="E12" s="34" t="str">
        <x:v>(By-the-Foot) 14 Green Stranded CU THHN Wire</x:v>
      </x:c>
      <x:c r="F12" s="34" t="str">
        <x:v>https://www.homedepot.com/p/204632154</x:v>
      </x:c>
      <x:c r="G12" s="35" t="str">
        <x:v>Professor to confirm</x:v>
      </x:c>
      <x:c r="H12" s="35" t="str">
        <x:v>No</x:v>
      </x:c>
      <x:c r="I12" s="35" t="str">
        <x:v>Unchecked</x:v>
      </x:c>
      <x:c r="J12" s="36" t="n">
        <x:f>ROUND(A12*C12,2)</x:f>
        <x:v>5.46</x:v>
      </x:c>
      <x:c r="K12" s="32" t="str">
        <x:v>One continuous 6 ft length. Price is per foot.</x:v>
      </x:c>
      <x:c r="L12" s="32" t="str">
        <x:v>Champaign store pickup required; delivery unavailable for ZIP 61820. Arrange collection before submitting.</x:v>
      </x:c>
      <x:c r="M12" s="35" t="str">
        <x:v>22959199</x:v>
      </x:c>
      <x:c r="N12" s="37" t="n">
        <x:v>46294</x:v>
      </x:c>
      <x:c r="O12" s="37" t="n">
        <x:v>46294</x:v>
      </x:c>
    </x:row>
    <x:row r="13" ht="40" customHeight="1">
      <x:c r="A13" s="28" t="n">
        <x:v>1</x:v>
      </x:c>
      <x:c r="B13" s="20" t="str">
        <x:v>each</x:v>
      </x:c>
      <x:c r="C13" s="29" t="n">
        <x:v>3.63</x:v>
      </x:c>
      <x:c r="D13" s="24" t="str">
        <x:v>202522492</x:v>
      </x:c>
      <x:c r="E13" s="24" t="str">
        <x:v>16 - 14 AWG #8 - 10 Stud Size Ring Terminals in Blue (15-Pack)</x:v>
      </x:c>
      <x:c r="F13" s="24" t="str">
        <x:v>https://www.homedepot.com/p/202522492</x:v>
      </x:c>
      <x:c r="G13" s="25" t="str">
        <x:v>Professor to confirm</x:v>
      </x:c>
      <x:c r="H13" s="25" t="str">
        <x:v>No</x:v>
      </x:c>
      <x:c r="I13" s="25" t="str">
        <x:v>Unchecked</x:v>
      </x:c>
      <x:c r="J13" s="30" t="n">
        <x:f>ROUND(A13*C13,2)</x:f>
        <x:v>3.63</x:v>
      </x:c>
      <x:c r="K13" s="20" t="str">
        <x:v>15 pieces per pack; each = one whole pack.</x:v>
      </x:c>
      <x:c r="L13" s="20" t="str"/>
      <x:c r="M13" s="25" t="str">
        <x:v>15-104</x:v>
      </x:c>
      <x:c r="N13" s="26" t="n">
        <x:v>46294</x:v>
      </x:c>
      <x:c r="O13" s="26" t="n">
        <x:v>46294</x:v>
      </x:c>
    </x:row>
    <x:row r="14" ht="40" customHeight="1">
      <x:c r="A14" s="31" t="n">
        <x:v>1</x:v>
      </x:c>
      <x:c r="B14" s="32" t="str">
        <x:v>each</x:v>
      </x:c>
      <x:c r="C14" s="33" t="n">
        <x:v>10.27</x:v>
      </x:c>
      <x:c r="D14" s="34" t="str">
        <x:v>202261925</x:v>
      </x:c>
      <x:c r="E14" s="34" t="str">
        <x:v>12 ft. x 3/4 in. One-Wrap Strap</x:v>
      </x:c>
      <x:c r="F14" s="34" t="str">
        <x:v>https://www.homedepot.com/p/202261925</x:v>
      </x:c>
      <x:c r="G14" s="35" t="str">
        <x:v>Professor to confirm</x:v>
      </x:c>
      <x:c r="H14" s="35" t="str">
        <x:v>No</x:v>
      </x:c>
      <x:c r="I14" s="35" t="str">
        <x:v>Unchecked</x:v>
      </x:c>
      <x:c r="J14" s="36" t="n">
        <x:f>ROUND(A14*C14,2)</x:f>
        <x:v>10.27</x:v>
      </x:c>
      <x:c r="K14" s="32" t="str">
        <x:v>12 ft × 3/4 in per roll; each = one whole roll.</x:v>
      </x:c>
      <x:c r="L14" s="32" t="str"/>
      <x:c r="M14" s="35" t="str">
        <x:v>90340</x:v>
      </x:c>
      <x:c r="N14" s="37" t="n">
        <x:v>46294</x:v>
      </x:c>
      <x:c r="O14" s="37" t="n">
        <x:v>46294</x:v>
      </x:c>
    </x:row>
    <x:row r="15" ht="40" customHeight="1">
      <x:c r="A15" s="28" t="n">
        <x:v>2</x:v>
      </x:c>
      <x:c r="B15" s="20" t="str">
        <x:v>each</x:v>
      </x:c>
      <x:c r="C15" s="29" t="n">
        <x:v>1.95</x:v>
      </x:c>
      <x:c r="D15" s="24" t="str">
        <x:v>321071719</x:v>
      </x:c>
      <x:c r="E15" s="24" t="str">
        <x:v>M3-0.5 x 12mm Zinc Pan Head Phillips Drive Machine Screw 4-Pieces</x:v>
      </x:c>
      <x:c r="F15" s="24" t="str">
        <x:v>https://www.homedepot.com/p/321071719</x:v>
      </x:c>
      <x:c r="G15" s="25" t="str">
        <x:v>Professor to confirm</x:v>
      </x:c>
      <x:c r="H15" s="25" t="str">
        <x:v>No</x:v>
      </x:c>
      <x:c r="I15" s="25" t="str">
        <x:v>Unchecked</x:v>
      </x:c>
      <x:c r="J15" s="30" t="n">
        <x:f>ROUND(A15*C15,2)</x:f>
        <x:v>3.9</x:v>
      </x:c>
      <x:c r="K15" s="20" t="str">
        <x:v>4 pieces per pack; each = one whole pack.</x:v>
      </x:c>
      <x:c r="L15" s="20" t="str"/>
      <x:c r="M15" s="25" t="str">
        <x:v>837761</x:v>
      </x:c>
      <x:c r="N15" s="26" t="n">
        <x:v>46294</x:v>
      </x:c>
      <x:c r="O15" s="26" t="n">
        <x:v>46294</x:v>
      </x:c>
    </x:row>
    <x:row r="16" ht="40" customHeight="1">
      <x:c r="A16" s="31" t="n">
        <x:v>2</x:v>
      </x:c>
      <x:c r="B16" s="32" t="str">
        <x:v>each</x:v>
      </x:c>
      <x:c r="C16" s="33" t="n">
        <x:v>1.95</x:v>
      </x:c>
      <x:c r="D16" s="34" t="str">
        <x:v>321071866</x:v>
      </x:c>
      <x:c r="E16" s="34" t="str">
        <x:v>M3-0.5 Stainless Steel Lock Nut 4-Pieces</x:v>
      </x:c>
      <x:c r="F16" s="34" t="str">
        <x:v>https://www.homedepot.com/p/321071866</x:v>
      </x:c>
      <x:c r="G16" s="35" t="str">
        <x:v>Professor to confirm</x:v>
      </x:c>
      <x:c r="H16" s="35" t="str">
        <x:v>No</x:v>
      </x:c>
      <x:c r="I16" s="35" t="str">
        <x:v>Unchecked</x:v>
      </x:c>
      <x:c r="J16" s="36" t="n">
        <x:f>ROUND(A16*C16,2)</x:f>
        <x:v>3.9</x:v>
      </x:c>
      <x:c r="K16" s="32" t="str">
        <x:v>4 pieces per pack; each = one whole pack.</x:v>
      </x:c>
      <x:c r="L16" s="32" t="str"/>
      <x:c r="M16" s="35" t="str">
        <x:v>837221</x:v>
      </x:c>
      <x:c r="N16" s="37" t="n">
        <x:v>46294</x:v>
      </x:c>
      <x:c r="O16" s="37" t="n">
        <x:v>46294</x:v>
      </x:c>
    </x:row>
    <x:row r="17" ht="40" customHeight="1">
      <x:c r="A17" s="28" t="n">
        <x:v>2</x:v>
      </x:c>
      <x:c r="B17" s="20" t="str">
        <x:v>each</x:v>
      </x:c>
      <x:c r="C17" s="29" t="n">
        <x:v>1.95</x:v>
      </x:c>
      <x:c r="D17" s="24" t="str">
        <x:v>321071623</x:v>
      </x:c>
      <x:c r="E17" s="24" t="str">
        <x:v>M4-0.7 x 10mm Zinc Pan Head Phillips Drive Machine Screw 4-Pieces</x:v>
      </x:c>
      <x:c r="F17" s="24" t="str">
        <x:v>https://www.homedepot.com/p/321071623</x:v>
      </x:c>
      <x:c r="G17" s="25" t="str">
        <x:v>Professor to confirm</x:v>
      </x:c>
      <x:c r="H17" s="25" t="str">
        <x:v>No</x:v>
      </x:c>
      <x:c r="I17" s="25" t="str">
        <x:v>Unchecked</x:v>
      </x:c>
      <x:c r="J17" s="30" t="n">
        <x:f>ROUND(A17*C17,2)</x:f>
        <x:v>3.9</x:v>
      </x:c>
      <x:c r="K17" s="20" t="str">
        <x:v>4 pieces per pack; each = one whole pack.</x:v>
      </x:c>
      <x:c r="L17" s="20" t="str"/>
      <x:c r="M17" s="25" t="str">
        <x:v>836351</x:v>
      </x:c>
      <x:c r="N17" s="26" t="n">
        <x:v>46294</x:v>
      </x:c>
      <x:c r="O17" s="26" t="n">
        <x:v>46294</x:v>
      </x:c>
    </x:row>
    <x:row r="18" ht="40" customHeight="1">
      <x:c r="A18" s="31" t="n">
        <x:v>1</x:v>
      </x:c>
      <x:c r="B18" s="32" t="str">
        <x:v>each</x:v>
      </x:c>
      <x:c r="C18" s="33" t="n">
        <x:v>4.96</x:v>
      </x:c>
      <x:c r="D18" s="34" t="str">
        <x:v>204801237</x:v>
      </x:c>
      <x:c r="E18" s="34" t="str">
        <x:v>Stainless Steel Metric Flat Washer (M4 Screw Size)</x:v>
      </x:c>
      <x:c r="F18" s="34" t="str">
        <x:v>https://www.homedepot.com/p/204801237</x:v>
      </x:c>
      <x:c r="G18" s="35" t="str">
        <x:v>Professor to confirm</x:v>
      </x:c>
      <x:c r="H18" s="35" t="str">
        <x:v>No</x:v>
      </x:c>
      <x:c r="I18" s="35" t="str">
        <x:v>Unchecked</x:v>
      </x:c>
      <x:c r="J18" s="36" t="n">
        <x:f>ROUND(A18*C18,2)</x:f>
        <x:v>4.96</x:v>
      </x:c>
      <x:c r="K18" s="32" t="str">
        <x:v>50 pieces per pack; each = one whole pack.</x:v>
      </x:c>
      <x:c r="L18" s="32" t="str"/>
      <x:c r="M18" s="35" t="str">
        <x:v>4118</x:v>
      </x:c>
      <x:c r="N18" s="37" t="n">
        <x:v>46294</x:v>
      </x:c>
      <x:c r="O18" s="37" t="n">
        <x:v>46294</x:v>
      </x:c>
    </x:row>
    <x:row r="19" ht="40" customHeight="1">
      <x:c r="A19" s="28" t="n">
        <x:v>2</x:v>
      </x:c>
      <x:c r="B19" s="20" t="str">
        <x:v>each</x:v>
      </x:c>
      <x:c r="C19" s="29" t="n">
        <x:v>1.95</x:v>
      </x:c>
      <x:c r="D19" s="24" t="str">
        <x:v>321071795</x:v>
      </x:c>
      <x:c r="E19" s="24" t="str">
        <x:v>M4-0.7 Stainless Steel Lock Nut 4-Pieces</x:v>
      </x:c>
      <x:c r="F19" s="24" t="str">
        <x:v>https://www.homedepot.com/p/321071795</x:v>
      </x:c>
      <x:c r="G19" s="25" t="str">
        <x:v>Professor to confirm</x:v>
      </x:c>
      <x:c r="H19" s="25" t="str">
        <x:v>No</x:v>
      </x:c>
      <x:c r="I19" s="25" t="str">
        <x:v>Unchecked</x:v>
      </x:c>
      <x:c r="J19" s="30" t="n">
        <x:f>ROUND(A19*C19,2)</x:f>
        <x:v>3.9</x:v>
      </x:c>
      <x:c r="K19" s="20" t="str">
        <x:v>4 pieces per pack; each = one whole pack.</x:v>
      </x:c>
      <x:c r="L19" s="20" t="str"/>
      <x:c r="M19" s="25" t="str">
        <x:v>837171</x:v>
      </x:c>
      <x:c r="N19" s="26" t="n">
        <x:v>46294</x:v>
      </x:c>
      <x:c r="O19" s="26" t="n">
        <x:v>46294</x:v>
      </x:c>
    </x:row>
    <x:row r="20" ht="40" customHeight="1">
      <x:c r="A20" s="31" t="n">
        <x:v>1</x:v>
      </x:c>
      <x:c r="B20" s="32" t="str">
        <x:v>each</x:v>
      </x:c>
      <x:c r="C20" s="33" t="n">
        <x:v>1.57</x:v>
      </x:c>
      <x:c r="D20" s="34" t="str">
        <x:v>317479556</x:v>
      </x:c>
      <x:c r="E20" s="34" t="str">
        <x:v>#10 Zinc-Plated External Tooth Lock Washer (18-Piece)</x:v>
      </x:c>
      <x:c r="F20" s="34" t="str">
        <x:v>https://www.homedepot.com/p/317479556</x:v>
      </x:c>
      <x:c r="G20" s="35" t="str">
        <x:v>Professor to confirm</x:v>
      </x:c>
      <x:c r="H20" s="35" t="str">
        <x:v>No</x:v>
      </x:c>
      <x:c r="I20" s="35" t="str">
        <x:v>Unchecked</x:v>
      </x:c>
      <x:c r="J20" s="36" t="n">
        <x:f>ROUND(A20*C20,2)</x:f>
        <x:v>1.57</x:v>
      </x:c>
      <x:c r="K20" s="32" t="str">
        <x:v>18 pieces per pack; each = one whole pack.</x:v>
      </x:c>
      <x:c r="L20" s="32" t="str"/>
      <x:c r="M20" s="35" t="str">
        <x:v>827311</x:v>
      </x:c>
      <x:c r="N20" s="37" t="n">
        <x:v>46294</x:v>
      </x:c>
      <x:c r="O20" s="37" t="n">
        <x:v>46294</x:v>
      </x:c>
    </x:row>
    <x:row r="21" ht="40" customHeight="1">
      <x:c r="A21" s="28" t="n">
        <x:v>2</x:v>
      </x:c>
      <x:c r="B21" s="20" t="str">
        <x:v>each</x:v>
      </x:c>
      <x:c r="C21" s="29" t="n">
        <x:v>2.97</x:v>
      </x:c>
      <x:c r="D21" s="24" t="str">
        <x:v>323370995</x:v>
      </x:c>
      <x:c r="E21" s="24" t="str">
        <x:v>M5-0.8x10mm Stainless Steel Pan Head Phillips Drive Machine Screw 2-Pieces</x:v>
      </x:c>
      <x:c r="F21" s="24" t="str">
        <x:v>https://www.homedepot.com/p/323370995</x:v>
      </x:c>
      <x:c r="G21" s="25" t="str">
        <x:v>Professor to confirm</x:v>
      </x:c>
      <x:c r="H21" s="25" t="str">
        <x:v>No</x:v>
      </x:c>
      <x:c r="I21" s="25" t="str">
        <x:v>Unchecked</x:v>
      </x:c>
      <x:c r="J21" s="30" t="n">
        <x:f>ROUND(A21*C21,2)</x:f>
        <x:v>5.94</x:v>
      </x:c>
      <x:c r="K21" s="20" t="str">
        <x:v>2 pieces per pack; each = one whole pack.</x:v>
      </x:c>
      <x:c r="L21" s="20" t="str"/>
      <x:c r="M21" s="25" t="str">
        <x:v>863468</x:v>
      </x:c>
      <x:c r="N21" s="26" t="n">
        <x:v>46294</x:v>
      </x:c>
      <x:c r="O21" s="26" t="n">
        <x:v>46294</x:v>
      </x:c>
    </x:row>
    <x:row r="22" ht="40" customHeight="1">
      <x:c r="A22" s="31" t="n">
        <x:v>1</x:v>
      </x:c>
      <x:c r="B22" s="32" t="str">
        <x:v>each</x:v>
      </x:c>
      <x:c r="C22" s="33" t="n">
        <x:v>1.95</x:v>
      </x:c>
      <x:c r="D22" s="34" t="str">
        <x:v>321071519</x:v>
      </x:c>
      <x:c r="E22" s="34" t="str">
        <x:v>M5-0.8 x 12mm Zinc Pan Head Phillips Drive Machine Screw 4-Pieces</x:v>
      </x:c>
      <x:c r="F22" s="34" t="str">
        <x:v>https://www.homedepot.com/p/321071519</x:v>
      </x:c>
      <x:c r="G22" s="35" t="str">
        <x:v>Professor to confirm</x:v>
      </x:c>
      <x:c r="H22" s="35" t="str">
        <x:v>No</x:v>
      </x:c>
      <x:c r="I22" s="35" t="str">
        <x:v>Unchecked</x:v>
      </x:c>
      <x:c r="J22" s="36" t="n">
        <x:f>ROUND(A22*C22,2)</x:f>
        <x:v>1.95</x:v>
      </x:c>
      <x:c r="K22" s="32" t="str">
        <x:v>4 pieces per pack; each = one whole pack.</x:v>
      </x:c>
      <x:c r="L22" s="32" t="str"/>
      <x:c r="M22" s="35" t="str">
        <x:v>836521</x:v>
      </x:c>
      <x:c r="N22" s="37" t="n">
        <x:v>46294</x:v>
      </x:c>
      <x:c r="O22" s="37" t="n">
        <x:v>46294</x:v>
      </x:c>
    </x:row>
    <x:row r="23" ht="40" customHeight="1">
      <x:c r="A23" s="28" t="n">
        <x:v>2</x:v>
      </x:c>
      <x:c r="B23" s="20" t="str">
        <x:v>each</x:v>
      </x:c>
      <x:c r="C23" s="29" t="n">
        <x:v>2.97</x:v>
      </x:c>
      <x:c r="D23" s="24" t="str">
        <x:v>323371831</x:v>
      </x:c>
      <x:c r="E23" s="24" t="str">
        <x:v>M5 Stainless Steel Flat Washer 4-Pieces</x:v>
      </x:c>
      <x:c r="F23" s="24" t="str">
        <x:v>https://www.homedepot.com/p/323371831</x:v>
      </x:c>
      <x:c r="G23" s="25" t="str">
        <x:v>Professor to confirm</x:v>
      </x:c>
      <x:c r="H23" s="25" t="str">
        <x:v>No</x:v>
      </x:c>
      <x:c r="I23" s="25" t="str">
        <x:v>Unchecked</x:v>
      </x:c>
      <x:c r="J23" s="30" t="n">
        <x:f>ROUND(A23*C23,2)</x:f>
        <x:v>5.94</x:v>
      </x:c>
      <x:c r="K23" s="20" t="str">
        <x:v>4 pieces per pack; each = one whole pack.</x:v>
      </x:c>
      <x:c r="L23" s="20" t="str"/>
      <x:c r="M23" s="25" t="str">
        <x:v>864408</x:v>
      </x:c>
      <x:c r="N23" s="26" t="n">
        <x:v>46294</x:v>
      </x:c>
      <x:c r="O23" s="26" t="n">
        <x:v>46294</x:v>
      </x:c>
    </x:row>
  </x:sheetData>
  <x:conditionalFormatting sqref="G8:G23">
    <x:cfRule type="containsText" dxfId="1" priority="1" operator="containsText" text="Professor to confirm"/>
  </x:conditionalFormatting>
  <x:dataValidations count="2">
    <x:dataValidation type="list" sqref="B8:B23">
      <x:formula1>"each,feet"</x:formula1>
    </x:dataValidation>
    <x:dataValidation type="list" sqref="G8:G23">
      <x:formula1>"Professor to confirm,Yes,No"</x:formula1>
    </x:dataValidation>
  </x:dataValidations>
  <x:pageMargins left="0.7" right="0.7" top="0.75" bottom="0.75" header="0.3" footer="0.3"/>
</x:worksheet>
</file>